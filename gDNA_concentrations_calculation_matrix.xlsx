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a14988d32289e8c3/Postdoc/Research/0_master_scripts_for_analysis/gDNA_normalization/"/>
    </mc:Choice>
  </mc:AlternateContent>
  <xr:revisionPtr revIDLastSave="106" documentId="13_ncr:1_{F82FB7CA-3015-0048-8730-17A963576A92}" xr6:coauthVersionLast="47" xr6:coauthVersionMax="47" xr10:uidLastSave="{70479BE5-A36C-45A5-A530-3DB1333D5330}"/>
  <bookViews>
    <workbookView xWindow="43080" yWindow="-120" windowWidth="29040" windowHeight="15720" tabRatio="500" xr2:uid="{00000000-000D-0000-FFFF-FFFF00000000}"/>
  </bookViews>
  <sheets>
    <sheet name="gDNA tempate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35" i="1" l="1"/>
  <c r="J35" i="1"/>
  <c r="I35" i="1"/>
  <c r="H35" i="1"/>
  <c r="G35" i="1"/>
  <c r="F35" i="1"/>
  <c r="E35" i="1"/>
  <c r="D35" i="1"/>
  <c r="C35" i="1"/>
  <c r="B35" i="1"/>
  <c r="M34" i="1"/>
  <c r="L34" i="1"/>
  <c r="K34" i="1"/>
  <c r="J34" i="1"/>
  <c r="I34" i="1"/>
  <c r="H34" i="1"/>
  <c r="G34" i="1"/>
  <c r="F34" i="1"/>
  <c r="E34" i="1"/>
  <c r="D34" i="1"/>
  <c r="C34" i="1"/>
  <c r="B34" i="1"/>
  <c r="M33" i="1"/>
  <c r="L33" i="1"/>
  <c r="K33" i="1"/>
  <c r="J33" i="1"/>
  <c r="I33" i="1"/>
  <c r="H33" i="1"/>
  <c r="G33" i="1"/>
  <c r="F33" i="1"/>
  <c r="E33" i="1"/>
  <c r="D33" i="1"/>
  <c r="C33" i="1"/>
  <c r="B33" i="1"/>
  <c r="M32" i="1"/>
  <c r="L32" i="1"/>
  <c r="K32" i="1"/>
  <c r="J32" i="1"/>
  <c r="I32" i="1"/>
  <c r="H32" i="1"/>
  <c r="G32" i="1"/>
  <c r="F32" i="1"/>
  <c r="E32" i="1"/>
  <c r="D32" i="1"/>
  <c r="C32" i="1"/>
  <c r="B32" i="1"/>
  <c r="M31" i="1"/>
  <c r="L31" i="1"/>
  <c r="K31" i="1"/>
  <c r="J31" i="1"/>
  <c r="I31" i="1"/>
  <c r="H31" i="1"/>
  <c r="G31" i="1"/>
  <c r="F31" i="1"/>
  <c r="E31" i="1"/>
  <c r="D31" i="1"/>
  <c r="C31" i="1"/>
  <c r="B31" i="1"/>
  <c r="M30" i="1"/>
  <c r="L30" i="1"/>
  <c r="K30" i="1"/>
  <c r="J30" i="1"/>
  <c r="I30" i="1"/>
  <c r="H30" i="1"/>
  <c r="G30" i="1"/>
  <c r="F30" i="1"/>
  <c r="E30" i="1"/>
  <c r="D30" i="1"/>
  <c r="C30" i="1"/>
  <c r="B30" i="1"/>
  <c r="F16" i="1" l="1"/>
  <c r="G16" i="1"/>
  <c r="F17" i="1"/>
  <c r="G17" i="1"/>
  <c r="F18" i="1"/>
  <c r="G18" i="1"/>
  <c r="F19" i="1"/>
  <c r="G19" i="1"/>
  <c r="F20" i="1"/>
  <c r="G20" i="1"/>
  <c r="F21" i="1"/>
  <c r="G21" i="1"/>
  <c r="F22" i="1"/>
  <c r="G22" i="1"/>
  <c r="F15" i="1"/>
  <c r="G15" i="1"/>
  <c r="B16" i="1" l="1"/>
  <c r="B17" i="1"/>
  <c r="B18" i="1"/>
  <c r="B19" i="1"/>
  <c r="B20" i="1"/>
  <c r="B21" i="1"/>
  <c r="B22" i="1"/>
  <c r="B15" i="1"/>
</calcChain>
</file>

<file path=xl/sharedStrings.xml><?xml version="1.0" encoding="utf-8"?>
<sst xmlns="http://schemas.openxmlformats.org/spreadsheetml/2006/main" count="43" uniqueCount="35">
  <si>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</si>
  <si>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</si>
  <si>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</si>
  <si>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</si>
  <si>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</si>
  <si>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</si>
  <si>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</si>
  <si>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</si>
  <si>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</si>
  <si>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</si>
  <si>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</si>
  <si>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</si>
  <si>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</si>
  <si>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C</t>
  </si>
  <si>
    <t>E</t>
  </si>
  <si>
    <t>G</t>
  </si>
  <si>
    <t>DNA standards:</t>
  </si>
  <si>
    <t>Rep1</t>
  </si>
  <si>
    <t>Rep2</t>
  </si>
  <si>
    <t>Average</t>
  </si>
  <si>
    <t>Stdev</t>
  </si>
  <si>
    <t>FLUORESCENCE</t>
  </si>
  <si>
    <t>Concentration (ng/uL)</t>
  </si>
  <si>
    <t>Amount (ng)</t>
  </si>
  <si>
    <t>Volume standards</t>
  </si>
  <si>
    <t>Volume samples</t>
  </si>
  <si>
    <t>slope</t>
  </si>
  <si>
    <t>CONCENTRATION (ng/uL)</t>
  </si>
  <si>
    <t>B</t>
  </si>
  <si>
    <t>D</t>
  </si>
  <si>
    <t>H</t>
  </si>
  <si>
    <t>F</t>
  </si>
  <si>
    <t>YOU MUST FILL IN ALL YELLOW BOXES</t>
  </si>
  <si>
    <t>Rep3</t>
  </si>
  <si>
    <t>&lt;- YOU HAVE TO CHANGE THE VALUE BASED ON THE STANDARD DATA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</si>
</sst>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6" x14ac:knownFonts="1">
    <font>
      <sz val="12"/>
      <color theme="1"/>
      <name val="맑은 고딕"/>
      <family val="2"/>
      <scheme val="minor"/>
    </font>
    <font>
      <b/>
      <sz val="12"/>
      <color theme="1"/>
      <name val="맑은 고딕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FFFFFF"/>
      <name val="맑은 고딕"/>
      <family val="2"/>
      <scheme val="minor"/>
    </font>
    <font>
      <sz val="12"/>
      <name val="맑은 고딕"/>
      <family val="2"/>
      <scheme val="minor"/>
    </font>
    <font>
      <b/>
      <sz val="12"/>
      <name val="맑은 고딕"/>
      <family val="2"/>
      <scheme val="minor"/>
    </font>
    <font>
      <u/>
      <sz val="12"/>
      <color theme="10"/>
      <name val="맑은 고딕"/>
      <family val="2"/>
      <scheme val="minor"/>
    </font>
    <font>
      <u/>
      <sz val="12"/>
      <color theme="11"/>
      <name val="맑은 고딕"/>
      <family val="2"/>
      <scheme val="minor"/>
    </font>
    <font>
      <sz val="11"/>
      <name val="Calibri"/>
      <family val="2"/>
    </font>
    <font>
      <sz val="8"/>
      <name val="맑은 고딕"/>
      <family val="3"/>
      <charset val="129"/>
      <scheme val="minor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1"/>
      <name val="Calibri"/>
      <family val="2"/>
    </font>
    <font>
      <b/>
      <sz val="11"/>
      <color theme="0"/>
      <name val="Calibri"/>
      <family val="2"/>
    </font>
    <font>
      <sz val="12"/>
      <color theme="0"/>
      <name val="맑은 고딕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808080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/>
  </cellStyleXfs>
  <cellXfs count="18">
    <xf numFmtId="0" fontId="0" fillId="0" borderId="0" xfId="0"/>
    <xf numFmtId="0" fontId="2" fillId="2" borderId="0" xfId="0" applyFont="1" applyFill="1"/>
    <xf numFmtId="0" fontId="1" fillId="0" borderId="0" xfId="0" applyFont="1"/>
    <xf numFmtId="0" fontId="4" fillId="3" borderId="0" xfId="0" applyFont="1" applyFill="1"/>
    <xf numFmtId="0" fontId="5" fillId="0" borderId="0" xfId="0" applyFont="1"/>
    <xf numFmtId="0" fontId="6" fillId="0" borderId="0" xfId="0" applyFont="1"/>
    <xf numFmtId="2" fontId="0" fillId="0" borderId="0" xfId="0" applyNumberFormat="1"/>
    <xf numFmtId="0" fontId="3" fillId="0" borderId="0" xfId="0" applyFont="1"/>
    <xf numFmtId="176" fontId="0" fillId="0" borderId="0" xfId="0" applyNumberFormat="1"/>
    <xf numFmtId="1" fontId="0" fillId="0" borderId="0" xfId="0" applyNumberFormat="1"/>
    <xf numFmtId="0" fontId="0" fillId="5" borderId="0" xfId="0" applyFill="1"/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" fillId="0" borderId="0" xfId="0" applyFont="1" applyAlignment="1">
      <alignment vertical="center"/>
    </xf>
    <xf numFmtId="176" fontId="13" fillId="0" borderId="0" xfId="0" applyNumberFormat="1" applyFont="1"/>
    <xf numFmtId="0" fontId="14" fillId="6" borderId="0" xfId="0" applyFont="1" applyFill="1"/>
    <xf numFmtId="0" fontId="15" fillId="6" borderId="0" xfId="0" applyFont="1" applyFill="1"/>
    <xf numFmtId="0" fontId="1" fillId="4" borderId="0" xfId="0" applyFont="1" applyFill="1" applyAlignment="1">
      <alignment horizontal="center"/>
    </xf>
  </cellXfs>
  <cellStyles count="6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  <cellStyle name="Normal 2" xfId="5" xr:uid="{00000000-0005-0000-0000-000005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DNA standards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17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layout>
                <c:manualLayout>
                  <c:x val="-0.14234711286089199"/>
                  <c:y val="-2.356481481481479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'gDNA tempate'!$G$15:$G$21</c:f>
                <c:numCache>
                  <c:formatCode>General</c:formatCode>
                  <c:ptCount val="7"/>
                  <c:pt idx="0">
                    <c:v>5.6568542494923806</c:v>
                  </c:pt>
                  <c:pt idx="1">
                    <c:v>33.234018715767732</c:v>
                  </c:pt>
                  <c:pt idx="2">
                    <c:v>60.104076400856542</c:v>
                  </c:pt>
                  <c:pt idx="3">
                    <c:v>130.10764773832474</c:v>
                  </c:pt>
                  <c:pt idx="4">
                    <c:v>297.69195487953652</c:v>
                  </c:pt>
                  <c:pt idx="5">
                    <c:v>303.34880912902889</c:v>
                  </c:pt>
                  <c:pt idx="6">
                    <c:v>961.66522241370467</c:v>
                  </c:pt>
                </c:numCache>
              </c:numRef>
            </c:plus>
            <c:minus>
              <c:numRef>
                <c:f>'gDNA tempate'!$G$15:$G$21</c:f>
                <c:numCache>
                  <c:formatCode>General</c:formatCode>
                  <c:ptCount val="7"/>
                  <c:pt idx="0">
                    <c:v>5.6568542494923806</c:v>
                  </c:pt>
                  <c:pt idx="1">
                    <c:v>33.234018715767732</c:v>
                  </c:pt>
                  <c:pt idx="2">
                    <c:v>60.104076400856542</c:v>
                  </c:pt>
                  <c:pt idx="3">
                    <c:v>130.10764773832474</c:v>
                  </c:pt>
                  <c:pt idx="4">
                    <c:v>297.69195487953652</c:v>
                  </c:pt>
                  <c:pt idx="5">
                    <c:v>303.34880912902889</c:v>
                  </c:pt>
                  <c:pt idx="6">
                    <c:v>961.66522241370467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'gDNA tempate'!$B$15:$B$22</c:f>
              <c:numCache>
                <c:formatCode>General</c:formatCode>
                <c:ptCount val="8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10</c:v>
                </c:pt>
                <c:pt idx="4">
                  <c:v>20</c:v>
                </c:pt>
                <c:pt idx="5">
                  <c:v>30</c:v>
                </c:pt>
                <c:pt idx="6">
                  <c:v>40</c:v>
                </c:pt>
                <c:pt idx="7">
                  <c:v>50</c:v>
                </c:pt>
              </c:numCache>
            </c:numRef>
          </c:xVal>
          <c:yVal>
            <c:numRef>
              <c:f>'gDNA tempate'!$F$15:$F$22</c:f>
              <c:numCache>
                <c:formatCode>General</c:formatCode>
                <c:ptCount val="8"/>
                <c:pt idx="0">
                  <c:v>291</c:v>
                </c:pt>
                <c:pt idx="1">
                  <c:v>2400.5</c:v>
                </c:pt>
                <c:pt idx="2">
                  <c:v>4074.5</c:v>
                </c:pt>
                <c:pt idx="3">
                  <c:v>10764</c:v>
                </c:pt>
                <c:pt idx="4">
                  <c:v>15321.5</c:v>
                </c:pt>
                <c:pt idx="5">
                  <c:v>30029.5</c:v>
                </c:pt>
                <c:pt idx="6">
                  <c:v>41417</c:v>
                </c:pt>
                <c:pt idx="7">
                  <c:v>51608.5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7D6-4977-B9A8-C60FB9013C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7988224"/>
        <c:axId val="1702932448"/>
      </c:scatterChart>
      <c:valAx>
        <c:axId val="1707988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ng DNA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02932448"/>
        <c:crosses val="autoZero"/>
        <c:crossBetween val="midCat"/>
      </c:valAx>
      <c:valAx>
        <c:axId val="1702932448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707988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673100</xdr:colOff>
      <xdr:row>12</xdr:row>
      <xdr:rowOff>95250</xdr:rowOff>
    </xdr:from>
    <xdr:to>
      <xdr:col>13</xdr:col>
      <xdr:colOff>292100</xdr:colOff>
      <xdr:row>25</xdr:row>
      <xdr:rowOff>196850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42"/>
  <sheetViews>
    <sheetView tabSelected="1" topLeftCell="A10" zoomScale="85" zoomScaleNormal="85" workbookViewId="0">
      <selection activeCell="M38" sqref="M38"/>
    </sheetView>
  </sheetViews>
  <sheetFormatPr defaultColWidth="11.1484375" defaultRowHeight="17.350000000000001" x14ac:dyDescent="0.65"/>
  <cols>
    <col min="1" max="1" width="20.1484375" customWidth="1"/>
    <col min="2" max="2" width="16.3984375" customWidth="1"/>
    <col min="3" max="3" width="11.6484375" bestFit="1" customWidth="1"/>
    <col min="6" max="6" width="14.84765625" bestFit="1" customWidth="1"/>
  </cols>
  <sheetData>
    <row r="1" spans="1:24" x14ac:dyDescent="0.65">
      <c r="A1" s="17" t="s">
        <v>32</v>
      </c>
      <c r="B1" s="17"/>
    </row>
    <row r="2" spans="1:24" x14ac:dyDescent="0.65">
      <c r="A2" s="3" t="s">
        <v>21</v>
      </c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3">
        <v>8</v>
      </c>
      <c r="J2" s="3">
        <v>9</v>
      </c>
      <c r="K2" s="3">
        <v>10</v>
      </c>
      <c r="L2" s="3">
        <v>11</v>
      </c>
      <c r="M2" s="3">
        <v>12</v>
      </c>
    </row>
    <row r="3" spans="1:24" x14ac:dyDescent="0.65">
      <c r="A3" s="3" t="s">
        <v>12</v>
      </c>
      <c r="B3" s="7">
        <v>46220</v>
      </c>
      <c r="C3" s="7">
        <v>39621</v>
      </c>
      <c r="D3" s="7">
        <v>11049</v>
      </c>
      <c r="E3" s="7">
        <v>18490</v>
      </c>
      <c r="F3" s="7">
        <v>25269</v>
      </c>
      <c r="G3" s="7">
        <v>45391</v>
      </c>
      <c r="H3" s="7">
        <v>2858</v>
      </c>
      <c r="I3" s="7">
        <v>4031</v>
      </c>
      <c r="J3" s="7">
        <v>2167</v>
      </c>
      <c r="K3" s="7">
        <v>1773</v>
      </c>
      <c r="L3" s="7">
        <v>26281</v>
      </c>
      <c r="M3" s="7">
        <v>19757</v>
      </c>
      <c r="O3" s="12"/>
      <c r="P3" s="12"/>
      <c r="Q3" s="12"/>
      <c r="R3" s="12"/>
      <c r="S3" s="12"/>
      <c r="T3" s="12"/>
      <c r="U3" s="12"/>
      <c r="V3" s="12"/>
      <c r="W3" s="11"/>
      <c r="X3" s="12"/>
    </row>
    <row r="4" spans="1:24" x14ac:dyDescent="0.65">
      <c r="A4" s="3" t="s">
        <v>28</v>
      </c>
      <c r="B4" s="7">
        <v>6324</v>
      </c>
      <c r="C4" s="7">
        <v>6194</v>
      </c>
      <c r="D4" s="7">
        <v>4327</v>
      </c>
      <c r="E4" s="7">
        <v>4602</v>
      </c>
      <c r="F4" s="7">
        <v>5648</v>
      </c>
      <c r="G4" s="7">
        <v>2782</v>
      </c>
      <c r="H4" s="7">
        <v>25843</v>
      </c>
      <c r="I4" s="7">
        <v>19217</v>
      </c>
      <c r="J4" s="7">
        <v>2757</v>
      </c>
      <c r="K4" s="7">
        <v>8536</v>
      </c>
      <c r="L4" s="7">
        <v>22582</v>
      </c>
      <c r="M4" s="7">
        <v>3583</v>
      </c>
      <c r="W4" s="11"/>
      <c r="X4" s="12"/>
    </row>
    <row r="5" spans="1:24" x14ac:dyDescent="0.65">
      <c r="A5" s="3" t="s">
        <v>13</v>
      </c>
      <c r="B5" s="7">
        <v>6340</v>
      </c>
      <c r="C5" s="7">
        <v>4546</v>
      </c>
      <c r="D5" s="7">
        <v>1664</v>
      </c>
      <c r="E5" s="7">
        <v>1204</v>
      </c>
      <c r="F5" s="7">
        <v>462</v>
      </c>
      <c r="G5" s="7">
        <v>382</v>
      </c>
      <c r="H5" s="7">
        <v>14006</v>
      </c>
      <c r="I5" s="7">
        <v>29695</v>
      </c>
      <c r="J5" s="7">
        <v>32804</v>
      </c>
      <c r="K5" s="7">
        <v>1795</v>
      </c>
      <c r="L5" s="7">
        <v>3553</v>
      </c>
      <c r="M5" s="7">
        <v>2046</v>
      </c>
      <c r="O5" s="12"/>
      <c r="P5" s="12"/>
      <c r="Q5" s="12"/>
      <c r="R5" s="12"/>
      <c r="S5" s="12"/>
      <c r="T5" s="12"/>
      <c r="U5" s="12"/>
      <c r="V5" s="12"/>
      <c r="W5" s="11"/>
      <c r="X5" s="12"/>
    </row>
    <row r="6" spans="1:24" x14ac:dyDescent="0.65">
      <c r="A6" s="3" t="s">
        <v>29</v>
      </c>
      <c r="B6" s="7">
        <v>3244</v>
      </c>
      <c r="C6" s="7">
        <v>7616</v>
      </c>
      <c r="D6" s="7">
        <v>9713</v>
      </c>
      <c r="E6" s="7">
        <v>994</v>
      </c>
      <c r="F6" s="7">
        <v>9988</v>
      </c>
      <c r="G6" s="7">
        <v>1551</v>
      </c>
      <c r="H6" s="7">
        <v>19247</v>
      </c>
      <c r="I6" s="7">
        <v>11153</v>
      </c>
      <c r="J6" s="7">
        <v>16692</v>
      </c>
      <c r="K6" s="7">
        <v>13229</v>
      </c>
      <c r="L6" s="7">
        <v>366</v>
      </c>
      <c r="M6" s="7">
        <v>16134</v>
      </c>
      <c r="O6" s="12"/>
      <c r="P6" s="12"/>
      <c r="Q6" s="12"/>
      <c r="R6" s="12"/>
      <c r="S6" s="12"/>
      <c r="T6" s="12"/>
      <c r="U6" s="12"/>
      <c r="V6" s="12"/>
      <c r="W6" s="12"/>
      <c r="X6" s="13"/>
    </row>
    <row r="7" spans="1:24" x14ac:dyDescent="0.65">
      <c r="A7" s="3" t="s">
        <v>14</v>
      </c>
      <c r="B7" s="7">
        <v>6860</v>
      </c>
      <c r="C7" s="7">
        <v>8783</v>
      </c>
      <c r="D7" s="7">
        <v>9914</v>
      </c>
      <c r="E7" s="7">
        <v>9037</v>
      </c>
      <c r="F7" s="7">
        <v>2311</v>
      </c>
      <c r="G7" s="7">
        <v>1150</v>
      </c>
      <c r="H7" s="7">
        <v>6644</v>
      </c>
      <c r="I7" s="7">
        <v>14504</v>
      </c>
      <c r="J7" s="7">
        <v>3979</v>
      </c>
      <c r="K7" s="7">
        <v>1466</v>
      </c>
      <c r="L7" s="7">
        <v>6065</v>
      </c>
      <c r="M7" s="7">
        <v>1644</v>
      </c>
      <c r="O7" s="12"/>
      <c r="P7" s="12"/>
      <c r="Q7" s="12"/>
      <c r="R7" s="12"/>
      <c r="S7" s="12"/>
      <c r="T7" s="12"/>
      <c r="U7" s="12"/>
      <c r="V7" s="12"/>
      <c r="W7" s="12"/>
      <c r="X7" s="13"/>
    </row>
    <row r="8" spans="1:24" x14ac:dyDescent="0.65">
      <c r="A8" s="3" t="s">
        <v>31</v>
      </c>
      <c r="B8" s="7">
        <v>5416</v>
      </c>
      <c r="C8" s="7">
        <v>6930</v>
      </c>
      <c r="D8" s="7">
        <v>302</v>
      </c>
      <c r="E8" s="7">
        <v>478</v>
      </c>
      <c r="F8" s="7">
        <v>3810</v>
      </c>
      <c r="G8" s="7">
        <v>1016</v>
      </c>
      <c r="H8" s="7">
        <v>7177</v>
      </c>
      <c r="I8" s="7">
        <v>11896</v>
      </c>
      <c r="J8" s="7">
        <v>704</v>
      </c>
      <c r="K8" s="7">
        <v>8451</v>
      </c>
      <c r="L8" s="7">
        <v>321</v>
      </c>
      <c r="M8" s="7">
        <v>319</v>
      </c>
      <c r="O8" s="12"/>
      <c r="P8" s="12"/>
      <c r="Q8" s="12"/>
      <c r="R8" s="12"/>
      <c r="S8" s="12"/>
      <c r="T8" s="12"/>
      <c r="U8" s="12"/>
      <c r="V8" s="12"/>
      <c r="W8" s="12"/>
      <c r="X8" s="13"/>
    </row>
    <row r="9" spans="1:24" x14ac:dyDescent="0.65">
      <c r="A9" s="3" t="s">
        <v>15</v>
      </c>
      <c r="B9" s="7">
        <v>287</v>
      </c>
      <c r="C9" s="7">
        <v>2424</v>
      </c>
      <c r="D9" s="7">
        <v>4117</v>
      </c>
      <c r="E9" s="7">
        <v>10856</v>
      </c>
      <c r="F9" s="7">
        <v>15532</v>
      </c>
      <c r="G9" s="7">
        <v>30244</v>
      </c>
      <c r="H9" s="7">
        <v>42097</v>
      </c>
      <c r="I9" s="7">
        <v>52744</v>
      </c>
      <c r="J9" s="7">
        <v>315</v>
      </c>
      <c r="K9" s="7">
        <v>318</v>
      </c>
      <c r="L9" s="7">
        <v>320</v>
      </c>
      <c r="M9" s="7">
        <v>321</v>
      </c>
      <c r="O9" s="12"/>
      <c r="P9" s="12"/>
      <c r="Q9" s="12"/>
      <c r="R9" s="12"/>
      <c r="S9" s="12"/>
      <c r="T9" s="12"/>
      <c r="U9" s="12"/>
      <c r="V9" s="12"/>
      <c r="W9" s="12"/>
      <c r="X9" s="13"/>
    </row>
    <row r="10" spans="1:24" x14ac:dyDescent="0.65">
      <c r="A10" s="3" t="s">
        <v>30</v>
      </c>
      <c r="B10" s="7">
        <v>295</v>
      </c>
      <c r="C10" s="7">
        <v>2377</v>
      </c>
      <c r="D10" s="7">
        <v>4032</v>
      </c>
      <c r="E10" s="7">
        <v>10672</v>
      </c>
      <c r="F10" s="7">
        <v>15111</v>
      </c>
      <c r="G10" s="7">
        <v>29815</v>
      </c>
      <c r="H10" s="7">
        <v>40737</v>
      </c>
      <c r="I10" s="7">
        <v>50473</v>
      </c>
      <c r="J10" s="7">
        <v>309</v>
      </c>
      <c r="K10" s="7">
        <v>312</v>
      </c>
      <c r="L10" s="7">
        <v>317</v>
      </c>
      <c r="M10" s="7">
        <v>317</v>
      </c>
      <c r="O10" s="12"/>
      <c r="P10" s="12"/>
      <c r="Q10" s="12"/>
      <c r="R10" s="12"/>
      <c r="S10" s="12"/>
      <c r="T10" s="12"/>
      <c r="U10" s="12"/>
      <c r="V10" s="12"/>
      <c r="W10" s="12"/>
      <c r="X10" s="13"/>
    </row>
    <row r="13" spans="1:24" x14ac:dyDescent="0.65">
      <c r="A13" s="2" t="s">
        <v>16</v>
      </c>
    </row>
    <row r="14" spans="1:24" x14ac:dyDescent="0.65">
      <c r="A14" s="5" t="s">
        <v>22</v>
      </c>
      <c r="B14" s="2" t="s">
        <v>23</v>
      </c>
      <c r="C14" s="2" t="s">
        <v>17</v>
      </c>
      <c r="D14" s="2" t="s">
        <v>18</v>
      </c>
      <c r="E14" s="2" t="s">
        <v>33</v>
      </c>
      <c r="F14" s="2" t="s">
        <v>19</v>
      </c>
      <c r="G14" s="2" t="s">
        <v>20</v>
      </c>
    </row>
    <row r="15" spans="1:24" x14ac:dyDescent="0.65">
      <c r="A15" s="9">
        <v>0</v>
      </c>
      <c r="B15">
        <f>A15*$B$26</f>
        <v>0</v>
      </c>
      <c r="C15" s="7">
        <v>287</v>
      </c>
      <c r="D15" s="7">
        <v>295</v>
      </c>
      <c r="E15" s="10"/>
      <c r="F15">
        <f t="shared" ref="F15:F22" si="0">AVERAGE(C15:E15)</f>
        <v>291</v>
      </c>
      <c r="G15" s="6">
        <f t="shared" ref="G15:G22" si="1">STDEV(C15:E15)</f>
        <v>5.6568542494923806</v>
      </c>
    </row>
    <row r="16" spans="1:24" x14ac:dyDescent="0.65">
      <c r="A16" s="8">
        <v>0.5</v>
      </c>
      <c r="B16">
        <f t="shared" ref="B16:B22" si="2">A16*$B$26</f>
        <v>2.5</v>
      </c>
      <c r="C16" s="7">
        <v>2424</v>
      </c>
      <c r="D16" s="7">
        <v>2377</v>
      </c>
      <c r="E16" s="10"/>
      <c r="F16">
        <f t="shared" si="0"/>
        <v>2400.5</v>
      </c>
      <c r="G16" s="6">
        <f t="shared" si="1"/>
        <v>33.234018715767732</v>
      </c>
    </row>
    <row r="17" spans="1:13" x14ac:dyDescent="0.65">
      <c r="A17" s="9">
        <v>1</v>
      </c>
      <c r="B17">
        <f t="shared" si="2"/>
        <v>5</v>
      </c>
      <c r="C17" s="7">
        <v>4117</v>
      </c>
      <c r="D17" s="7">
        <v>4032</v>
      </c>
      <c r="E17" s="10"/>
      <c r="F17">
        <f t="shared" si="0"/>
        <v>4074.5</v>
      </c>
      <c r="G17" s="6">
        <f t="shared" si="1"/>
        <v>60.104076400856542</v>
      </c>
    </row>
    <row r="18" spans="1:13" x14ac:dyDescent="0.65">
      <c r="A18" s="9">
        <v>2</v>
      </c>
      <c r="B18">
        <f t="shared" si="2"/>
        <v>10</v>
      </c>
      <c r="C18" s="7">
        <v>10856</v>
      </c>
      <c r="D18" s="7">
        <v>10672</v>
      </c>
      <c r="E18" s="10"/>
      <c r="F18">
        <f t="shared" si="0"/>
        <v>10764</v>
      </c>
      <c r="G18" s="6">
        <f t="shared" si="1"/>
        <v>130.10764773832474</v>
      </c>
    </row>
    <row r="19" spans="1:13" x14ac:dyDescent="0.65">
      <c r="A19" s="9">
        <v>4</v>
      </c>
      <c r="B19">
        <f t="shared" si="2"/>
        <v>20</v>
      </c>
      <c r="C19" s="7">
        <v>15532</v>
      </c>
      <c r="D19" s="7">
        <v>15111</v>
      </c>
      <c r="E19" s="10"/>
      <c r="F19">
        <f t="shared" si="0"/>
        <v>15321.5</v>
      </c>
      <c r="G19" s="6">
        <f t="shared" si="1"/>
        <v>297.69195487953652</v>
      </c>
    </row>
    <row r="20" spans="1:13" x14ac:dyDescent="0.65">
      <c r="A20" s="9">
        <v>6</v>
      </c>
      <c r="B20">
        <f t="shared" si="2"/>
        <v>30</v>
      </c>
      <c r="C20" s="7">
        <v>30244</v>
      </c>
      <c r="D20" s="7">
        <v>29815</v>
      </c>
      <c r="E20" s="10"/>
      <c r="F20">
        <f t="shared" si="0"/>
        <v>30029.5</v>
      </c>
      <c r="G20" s="6">
        <f t="shared" si="1"/>
        <v>303.34880912902889</v>
      </c>
    </row>
    <row r="21" spans="1:13" x14ac:dyDescent="0.65">
      <c r="A21" s="9">
        <v>8</v>
      </c>
      <c r="B21">
        <f t="shared" si="2"/>
        <v>40</v>
      </c>
      <c r="C21" s="7">
        <v>42097</v>
      </c>
      <c r="D21" s="7">
        <v>40737</v>
      </c>
      <c r="E21" s="10"/>
      <c r="F21">
        <f t="shared" si="0"/>
        <v>41417</v>
      </c>
      <c r="G21" s="6">
        <f t="shared" si="1"/>
        <v>961.66522241370467</v>
      </c>
    </row>
    <row r="22" spans="1:13" x14ac:dyDescent="0.65">
      <c r="A22" s="9">
        <v>10</v>
      </c>
      <c r="B22">
        <f t="shared" si="2"/>
        <v>50</v>
      </c>
      <c r="C22" s="7">
        <v>52744</v>
      </c>
      <c r="D22" s="7">
        <v>50473</v>
      </c>
      <c r="E22" s="10"/>
      <c r="F22">
        <f t="shared" si="0"/>
        <v>51608.5</v>
      </c>
      <c r="G22" s="6">
        <f t="shared" si="1"/>
        <v>1605.8395000746493</v>
      </c>
    </row>
    <row r="23" spans="1:13" x14ac:dyDescent="0.65">
      <c r="A23" s="4"/>
    </row>
    <row r="24" spans="1:13" x14ac:dyDescent="0.65">
      <c r="A24" s="5"/>
    </row>
    <row r="25" spans="1:13" x14ac:dyDescent="0.65">
      <c r="A25" s="5" t="s">
        <v>26</v>
      </c>
      <c r="B25" s="10">
        <v>1005</v>
      </c>
      <c r="C25" s="15" t="s">
        <v>34</v>
      </c>
      <c r="D25" s="16"/>
      <c r="E25" s="16"/>
      <c r="F25" s="16"/>
    </row>
    <row r="26" spans="1:13" x14ac:dyDescent="0.65">
      <c r="A26" s="5" t="s">
        <v>24</v>
      </c>
      <c r="B26" s="10">
        <v>5</v>
      </c>
    </row>
    <row r="27" spans="1:13" x14ac:dyDescent="0.65">
      <c r="A27" s="5" t="s">
        <v>25</v>
      </c>
      <c r="B27" s="10">
        <v>1</v>
      </c>
    </row>
    <row r="29" spans="1:13" x14ac:dyDescent="0.65">
      <c r="A29" s="1" t="s">
        <v>27</v>
      </c>
      <c r="B29" s="1" t="s">
        <v>0</v>
      </c>
      <c r="C29" s="1" t="s">
        <v>1</v>
      </c>
      <c r="D29" s="1" t="s">
        <v>2</v>
      </c>
      <c r="E29" s="1" t="s">
        <v>3</v>
      </c>
      <c r="F29" s="1" t="s">
        <v>4</v>
      </c>
      <c r="G29" s="1" t="s">
        <v>5</v>
      </c>
      <c r="H29" s="1" t="s">
        <v>6</v>
      </c>
      <c r="I29" s="1" t="s">
        <v>7</v>
      </c>
      <c r="J29" s="1" t="s">
        <v>8</v>
      </c>
      <c r="K29" s="1" t="s">
        <v>9</v>
      </c>
      <c r="L29" s="1" t="s">
        <v>10</v>
      </c>
      <c r="M29" s="1" t="s">
        <v>11</v>
      </c>
    </row>
    <row r="30" spans="1:13" x14ac:dyDescent="0.65">
      <c r="A30" s="3" t="s">
        <v>12</v>
      </c>
      <c r="B30" s="14">
        <f t="shared" ref="B30:M35" si="3">((B3)/$B$25)/$B$27</f>
        <v>45.990049751243781</v>
      </c>
      <c r="C30" s="14">
        <f t="shared" si="3"/>
        <v>39.423880597014929</v>
      </c>
      <c r="D30" s="14">
        <f t="shared" si="3"/>
        <v>10.994029850746269</v>
      </c>
      <c r="E30" s="14">
        <f t="shared" si="3"/>
        <v>18.398009950248756</v>
      </c>
      <c r="F30" s="14">
        <f t="shared" si="3"/>
        <v>25.143283582089552</v>
      </c>
      <c r="G30" s="14">
        <f t="shared" si="3"/>
        <v>45.165174129353233</v>
      </c>
      <c r="H30" s="14">
        <f t="shared" si="3"/>
        <v>2.8437810945273632</v>
      </c>
      <c r="I30" s="14">
        <f t="shared" si="3"/>
        <v>4.0109452736318412</v>
      </c>
      <c r="J30" s="14">
        <f t="shared" si="3"/>
        <v>2.1562189054726368</v>
      </c>
      <c r="K30" s="14">
        <f t="shared" si="3"/>
        <v>1.7641791044776118</v>
      </c>
      <c r="L30" s="14">
        <f t="shared" si="3"/>
        <v>26.150248756218904</v>
      </c>
      <c r="M30" s="14">
        <f t="shared" si="3"/>
        <v>19.658706467661691</v>
      </c>
    </row>
    <row r="31" spans="1:13" x14ac:dyDescent="0.65">
      <c r="A31" s="3" t="s">
        <v>28</v>
      </c>
      <c r="B31" s="14">
        <f t="shared" si="3"/>
        <v>6.2925373134328355</v>
      </c>
      <c r="C31" s="14">
        <f t="shared" si="3"/>
        <v>6.1631840796019901</v>
      </c>
      <c r="D31" s="14">
        <f t="shared" si="3"/>
        <v>4.30547263681592</v>
      </c>
      <c r="E31" s="14">
        <f t="shared" si="3"/>
        <v>4.5791044776119403</v>
      </c>
      <c r="F31" s="14">
        <f t="shared" si="3"/>
        <v>5.6199004975124378</v>
      </c>
      <c r="G31" s="14">
        <f t="shared" si="3"/>
        <v>2.7681592039800993</v>
      </c>
      <c r="H31" s="14">
        <f t="shared" si="3"/>
        <v>25.714427860696517</v>
      </c>
      <c r="I31" s="14">
        <f t="shared" si="3"/>
        <v>19.121393034825871</v>
      </c>
      <c r="J31" s="14">
        <f t="shared" si="3"/>
        <v>2.743283582089552</v>
      </c>
      <c r="K31" s="14">
        <f t="shared" si="3"/>
        <v>8.4935323383084569</v>
      </c>
      <c r="L31" s="14">
        <f t="shared" si="3"/>
        <v>22.469651741293532</v>
      </c>
      <c r="M31" s="14">
        <f t="shared" si="3"/>
        <v>3.5651741293532337</v>
      </c>
    </row>
    <row r="32" spans="1:13" x14ac:dyDescent="0.65">
      <c r="A32" s="3" t="s">
        <v>13</v>
      </c>
      <c r="B32" s="14">
        <f t="shared" si="3"/>
        <v>6.3084577114427862</v>
      </c>
      <c r="C32" s="14">
        <f t="shared" si="3"/>
        <v>4.5233830845771141</v>
      </c>
      <c r="D32" s="14">
        <f t="shared" si="3"/>
        <v>1.6557213930348258</v>
      </c>
      <c r="E32" s="14">
        <f t="shared" si="3"/>
        <v>1.1980099502487562</v>
      </c>
      <c r="F32" s="14">
        <f t="shared" si="3"/>
        <v>0.45970149253731341</v>
      </c>
      <c r="G32" s="14">
        <f t="shared" si="3"/>
        <v>0.38009950248756219</v>
      </c>
      <c r="H32" s="14">
        <f t="shared" si="3"/>
        <v>13.936318407960199</v>
      </c>
      <c r="I32" s="14">
        <f t="shared" si="3"/>
        <v>29.547263681592039</v>
      </c>
      <c r="J32" s="14">
        <f t="shared" si="3"/>
        <v>32.640796019900499</v>
      </c>
      <c r="K32" s="14">
        <f t="shared" si="3"/>
        <v>1.7860696517412935</v>
      </c>
      <c r="L32" s="14">
        <f t="shared" si="3"/>
        <v>3.5353233830845769</v>
      </c>
      <c r="M32" s="14">
        <f t="shared" si="3"/>
        <v>2.035820895522388</v>
      </c>
    </row>
    <row r="33" spans="1:13" x14ac:dyDescent="0.65">
      <c r="A33" s="3" t="s">
        <v>29</v>
      </c>
      <c r="B33" s="14">
        <f t="shared" si="3"/>
        <v>3.2278606965174128</v>
      </c>
      <c r="C33" s="14">
        <f t="shared" si="3"/>
        <v>7.5781094527363182</v>
      </c>
      <c r="D33" s="14">
        <f t="shared" si="3"/>
        <v>9.6646766169154237</v>
      </c>
      <c r="E33" s="14">
        <f t="shared" si="3"/>
        <v>0.98905472636815916</v>
      </c>
      <c r="F33" s="14">
        <f t="shared" si="3"/>
        <v>9.9383084577114431</v>
      </c>
      <c r="G33" s="14">
        <f t="shared" si="3"/>
        <v>1.5432835820895523</v>
      </c>
      <c r="H33" s="14">
        <f t="shared" si="3"/>
        <v>19.151243781094529</v>
      </c>
      <c r="I33" s="14">
        <f t="shared" si="3"/>
        <v>11.097512437810945</v>
      </c>
      <c r="J33" s="14">
        <f t="shared" si="3"/>
        <v>16.608955223880596</v>
      </c>
      <c r="K33" s="14">
        <f t="shared" si="3"/>
        <v>13.16318407960199</v>
      </c>
      <c r="L33" s="14">
        <f t="shared" si="3"/>
        <v>0.36417910447761193</v>
      </c>
      <c r="M33" s="14">
        <f t="shared" si="3"/>
        <v>16.053731343283584</v>
      </c>
    </row>
    <row r="34" spans="1:13" x14ac:dyDescent="0.65">
      <c r="A34" s="3" t="s">
        <v>14</v>
      </c>
      <c r="B34" s="14">
        <f t="shared" si="3"/>
        <v>6.8258706467661687</v>
      </c>
      <c r="C34" s="14">
        <f t="shared" si="3"/>
        <v>8.739303482587065</v>
      </c>
      <c r="D34" s="14">
        <f t="shared" si="3"/>
        <v>9.864676616915423</v>
      </c>
      <c r="E34" s="14">
        <f t="shared" si="3"/>
        <v>8.9920398009950251</v>
      </c>
      <c r="F34" s="14">
        <f t="shared" si="3"/>
        <v>2.2995024875621892</v>
      </c>
      <c r="G34" s="14">
        <f t="shared" si="3"/>
        <v>1.144278606965174</v>
      </c>
      <c r="H34" s="14">
        <f t="shared" si="3"/>
        <v>6.6109452736318408</v>
      </c>
      <c r="I34" s="14">
        <f t="shared" si="3"/>
        <v>14.4318407960199</v>
      </c>
      <c r="J34" s="14">
        <f t="shared" si="3"/>
        <v>3.9592039800995025</v>
      </c>
      <c r="K34" s="14">
        <f t="shared" si="3"/>
        <v>1.4587064676616917</v>
      </c>
      <c r="L34" s="14">
        <f t="shared" si="3"/>
        <v>6.0348258706467659</v>
      </c>
      <c r="M34" s="14">
        <f t="shared" si="3"/>
        <v>1.6358208955223881</v>
      </c>
    </row>
    <row r="35" spans="1:13" x14ac:dyDescent="0.65">
      <c r="A35" s="3" t="s">
        <v>31</v>
      </c>
      <c r="B35" s="14">
        <f t="shared" si="3"/>
        <v>5.3890547263681592</v>
      </c>
      <c r="C35" s="14">
        <f t="shared" si="3"/>
        <v>6.8955223880597014</v>
      </c>
      <c r="D35" s="14">
        <f t="shared" si="3"/>
        <v>0.30049751243781092</v>
      </c>
      <c r="E35" s="14">
        <f t="shared" si="3"/>
        <v>0.47562189054726367</v>
      </c>
      <c r="F35" s="14">
        <f t="shared" si="3"/>
        <v>3.7910447761194028</v>
      </c>
      <c r="G35" s="14">
        <f t="shared" si="3"/>
        <v>1.0109452736318407</v>
      </c>
      <c r="H35" s="14">
        <f t="shared" si="3"/>
        <v>7.1412935323383087</v>
      </c>
      <c r="I35" s="14">
        <f t="shared" si="3"/>
        <v>11.83681592039801</v>
      </c>
      <c r="J35" s="14">
        <f t="shared" si="3"/>
        <v>0.700497512437811</v>
      </c>
      <c r="K35" s="14">
        <f t="shared" si="3"/>
        <v>8.4089552238805965</v>
      </c>
      <c r="L35" s="14"/>
      <c r="M35" s="14"/>
    </row>
    <row r="36" spans="1:13" x14ac:dyDescent="0.65">
      <c r="A36" s="3" t="s">
        <v>15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spans="1:13" x14ac:dyDescent="0.65">
      <c r="A37" s="3" t="s">
        <v>30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</row>
    <row r="39" spans="1:13" x14ac:dyDescent="0.65">
      <c r="A39" s="2"/>
    </row>
    <row r="40" spans="1:13" x14ac:dyDescent="0.65">
      <c r="A40" s="2"/>
    </row>
    <row r="41" spans="1:13" x14ac:dyDescent="0.65">
      <c r="A41" s="2"/>
      <c r="C41" s="6"/>
    </row>
    <row r="42" spans="1:13" x14ac:dyDescent="0.65">
      <c r="C42" s="6"/>
    </row>
  </sheetData>
  <mergeCells count="1">
    <mergeCell ref="A1:B1"/>
  </mergeCells>
  <phoneticPr fontId="10" type="noConversion"/>
  <pageMargins left="0.7" right="0.7" top="0.75" bottom="0.75" header="0.3" footer="0.3"/>
  <pageSetup paperSize="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gDNA tempate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HANHYEOK IM</cp:lastModifiedBy>
  <cp:lastPrinted>2025-02-21T18:17:53Z</cp:lastPrinted>
  <dcterms:created xsi:type="dcterms:W3CDTF">2017-07-20T15:13:45Z</dcterms:created>
  <dcterms:modified xsi:type="dcterms:W3CDTF">2025-06-09T17:29:25Z</dcterms:modified>
</cp:coreProperties>
</file>